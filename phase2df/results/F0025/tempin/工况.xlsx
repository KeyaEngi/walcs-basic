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lic\Desktop\suanli1\tempin\"/>
    </mc:Choice>
  </mc:AlternateContent>
  <xr:revisionPtr revIDLastSave="0" documentId="13_ncr:1_{98ACE83E-DFDE-48A6-9A7B-22A050993C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D23" i="1"/>
  <c r="D24" i="1"/>
  <c r="D25" i="1"/>
  <c r="D26" i="1"/>
  <c r="D27" i="1"/>
  <c r="D28" i="1"/>
  <c r="D29" i="1"/>
  <c r="E15" i="1"/>
  <c r="E16" i="1"/>
  <c r="E17" i="1"/>
  <c r="E18" i="1"/>
  <c r="E19" i="1"/>
  <c r="E20" i="1"/>
  <c r="E21" i="1"/>
  <c r="E22" i="1"/>
  <c r="D15" i="1"/>
  <c r="D16" i="1"/>
  <c r="D17" i="1"/>
  <c r="D18" i="1"/>
  <c r="D19" i="1"/>
  <c r="D20" i="1"/>
  <c r="D21" i="1"/>
  <c r="D22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<sst xmlns="http://schemas.openxmlformats.org/spreadsheetml/2006/main" count="9" uniqueCount="8">
  <si>
    <t>机长</t>
    <phoneticPr fontId="1" type="noConversion"/>
  </si>
  <si>
    <t>波长船长比</t>
    <phoneticPr fontId="1" type="noConversion"/>
  </si>
  <si>
    <t>波长</t>
    <phoneticPr fontId="1" type="noConversion"/>
  </si>
  <si>
    <t>频率</t>
    <phoneticPr fontId="1" type="noConversion"/>
  </si>
  <si>
    <t>序号</t>
    <phoneticPr fontId="1" type="noConversion"/>
  </si>
  <si>
    <t>波幅</t>
    <phoneticPr fontId="1" type="noConversion"/>
  </si>
  <si>
    <t>浪向</t>
    <phoneticPr fontId="1" type="noConversion"/>
  </si>
  <si>
    <t>周期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</si>
</sst>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9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23" sqref="E23:E29"/>
    </sheetView>
  </sheetViews>
  <sheetFormatPr defaultRowHeight="14.25" x14ac:dyDescent="0.2"/>
  <cols>
    <col min="3" max="3" width="13.5" customWidth="1"/>
  </cols>
  <sheetData>
    <row r="1" spans="1:5" x14ac:dyDescent="0.2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</v>
      </c>
      <c r="B2">
        <v>37</v>
      </c>
      <c r="C2">
        <v>0.3</v>
      </c>
      <c r="D2">
        <f>B2*C2</f>
        <v>11.1</v>
      </c>
      <c r="E2">
        <f>SQRT(2*PI()*9.81/D2)</f>
        <v>2.356475606704608</v>
      </c>
    </row>
    <row r="3" spans="1:5" x14ac:dyDescent="0.2">
      <c r="B3">
        <v>37</v>
      </c>
      <c r="C3">
        <v>0.5</v>
      </c>
      <c r="D3">
        <f t="shared" ref="D3:D29" si="0">B3*C3</f>
        <v>18.5</v>
      </c>
      <c r="E3">
        <f t="shared" ref="E3:E29" si="1">SQRT(2*PI()*9.81/D3)</f>
        <v>1.8253181561021932</v>
      </c>
    </row>
    <row r="4" spans="1:5" x14ac:dyDescent="0.2">
      <c r="B4">
        <v>37</v>
      </c>
      <c r="C4">
        <v>0.7</v>
      </c>
      <c r="D4">
        <f t="shared" si="0"/>
        <v>25.9</v>
      </c>
      <c r="E4">
        <f t="shared" si="1"/>
        <v>1.5426754058629792</v>
      </c>
    </row>
    <row r="5" spans="1:5" x14ac:dyDescent="0.2">
      <c r="B5">
        <v>37</v>
      </c>
      <c r="C5">
        <v>0.9</v>
      </c>
      <c r="D5">
        <f t="shared" si="0"/>
        <v>33.300000000000004</v>
      </c>
      <c r="E5">
        <f t="shared" si="1"/>
        <v>1.360511825869692</v>
      </c>
    </row>
    <row r="6" spans="1:5" x14ac:dyDescent="0.2">
      <c r="B6">
        <v>37</v>
      </c>
      <c r="C6">
        <v>1</v>
      </c>
      <c r="D6">
        <f t="shared" si="0"/>
        <v>37</v>
      </c>
      <c r="E6">
        <f t="shared" si="1"/>
        <v>1.2906948460027861</v>
      </c>
    </row>
    <row r="7" spans="1:5" x14ac:dyDescent="0.2">
      <c r="B7">
        <v>37</v>
      </c>
      <c r="C7">
        <v>1.1000000000000001</v>
      </c>
      <c r="D7">
        <f t="shared" si="0"/>
        <v>40.700000000000003</v>
      </c>
      <c r="E7">
        <f t="shared" si="1"/>
        <v>1.2306292497957572</v>
      </c>
    </row>
    <row r="8" spans="1:5" x14ac:dyDescent="0.2">
      <c r="B8">
        <v>37</v>
      </c>
      <c r="C8">
        <v>1.3</v>
      </c>
      <c r="D8">
        <f t="shared" si="0"/>
        <v>48.1</v>
      </c>
      <c r="E8">
        <f t="shared" si="1"/>
        <v>1.1320142651649945</v>
      </c>
    </row>
    <row r="9" spans="1:5" x14ac:dyDescent="0.2">
      <c r="B9">
        <v>37</v>
      </c>
      <c r="C9">
        <v>1.5</v>
      </c>
      <c r="D9">
        <f t="shared" si="0"/>
        <v>55.5</v>
      </c>
      <c r="E9">
        <f t="shared" si="1"/>
        <v>1.0538479287823126</v>
      </c>
    </row>
    <row r="10" spans="1:5" x14ac:dyDescent="0.2">
      <c r="B10">
        <v>37</v>
      </c>
      <c r="C10">
        <v>1.7</v>
      </c>
      <c r="D10">
        <f t="shared" si="0"/>
        <v>62.9</v>
      </c>
      <c r="E10">
        <f t="shared" si="1"/>
        <v>0.98991775816988525</v>
      </c>
    </row>
    <row r="11" spans="1:5" x14ac:dyDescent="0.2">
      <c r="B11">
        <v>37</v>
      </c>
      <c r="C11">
        <v>1.9</v>
      </c>
      <c r="D11">
        <f t="shared" si="0"/>
        <v>70.3</v>
      </c>
      <c r="E11">
        <f t="shared" si="1"/>
        <v>0.93636845691442017</v>
      </c>
    </row>
    <row r="12" spans="1:5" x14ac:dyDescent="0.2">
      <c r="B12">
        <v>37</v>
      </c>
      <c r="C12">
        <v>2.1</v>
      </c>
      <c r="D12">
        <f t="shared" si="0"/>
        <v>77.7</v>
      </c>
      <c r="E12">
        <f t="shared" si="1"/>
        <v>0.89066406084720617</v>
      </c>
    </row>
    <row r="13" spans="1:5" x14ac:dyDescent="0.2">
      <c r="B13">
        <v>37</v>
      </c>
      <c r="C13">
        <v>2.2999999999999998</v>
      </c>
      <c r="D13">
        <f t="shared" si="0"/>
        <v>85.1</v>
      </c>
      <c r="E13">
        <f t="shared" si="1"/>
        <v>0.85105897856681934</v>
      </c>
    </row>
    <row r="14" spans="1:5" x14ac:dyDescent="0.2">
      <c r="B14">
        <v>37</v>
      </c>
      <c r="C14">
        <v>2.5</v>
      </c>
      <c r="D14">
        <f t="shared" si="0"/>
        <v>92.5</v>
      </c>
      <c r="E14">
        <f t="shared" si="1"/>
        <v>0.81630709552181524</v>
      </c>
    </row>
    <row r="15" spans="1:5" x14ac:dyDescent="0.2">
      <c r="B15">
        <v>37</v>
      </c>
      <c r="C15">
        <v>3.5</v>
      </c>
      <c r="D15">
        <f t="shared" si="0"/>
        <v>129.5</v>
      </c>
      <c r="E15">
        <f t="shared" si="1"/>
        <v>0.68990541494533986</v>
      </c>
    </row>
    <row r="16" spans="1:5" x14ac:dyDescent="0.2">
      <c r="B16">
        <v>37</v>
      </c>
      <c r="C16">
        <v>4.5</v>
      </c>
      <c r="D16">
        <f t="shared" si="0"/>
        <v>166.5</v>
      </c>
      <c r="E16">
        <f t="shared" si="1"/>
        <v>0.60843938536739772</v>
      </c>
    </row>
    <row r="17" spans="1:5" x14ac:dyDescent="0.2">
      <c r="B17">
        <v>37</v>
      </c>
      <c r="C17">
        <v>5.5</v>
      </c>
      <c r="D17">
        <f t="shared" si="0"/>
        <v>203.5</v>
      </c>
      <c r="E17">
        <f t="shared" si="1"/>
        <v>0.55035413152857648</v>
      </c>
    </row>
    <row r="18" spans="1:5" x14ac:dyDescent="0.2">
      <c r="B18">
        <v>37</v>
      </c>
      <c r="C18">
        <v>6.5</v>
      </c>
      <c r="D18">
        <f t="shared" si="0"/>
        <v>240.5</v>
      </c>
      <c r="E18">
        <f t="shared" si="1"/>
        <v>0.50625216968167996</v>
      </c>
    </row>
    <row r="19" spans="1:5" x14ac:dyDescent="0.2">
      <c r="A19" s="2"/>
      <c r="B19" s="2">
        <v>37</v>
      </c>
      <c r="C19" s="2">
        <v>7.5</v>
      </c>
      <c r="D19" s="2">
        <f t="shared" si="0"/>
        <v>277.5</v>
      </c>
      <c r="E19" s="2">
        <f t="shared" si="1"/>
        <v>0.47129512134092161</v>
      </c>
    </row>
    <row r="20" spans="1:5" x14ac:dyDescent="0.2">
      <c r="A20" s="2"/>
      <c r="B20" s="2">
        <v>37</v>
      </c>
      <c r="C20" s="2">
        <v>8.5</v>
      </c>
      <c r="D20" s="2">
        <f t="shared" si="0"/>
        <v>314.5</v>
      </c>
      <c r="E20" s="2">
        <f t="shared" si="1"/>
        <v>0.44270467988041223</v>
      </c>
    </row>
    <row r="21" spans="1:5" x14ac:dyDescent="0.2">
      <c r="A21" s="2"/>
      <c r="B21" s="2">
        <v>37</v>
      </c>
      <c r="C21" s="2">
        <v>9.5</v>
      </c>
      <c r="D21" s="2">
        <f t="shared" si="0"/>
        <v>351.5</v>
      </c>
      <c r="E21" s="2">
        <f t="shared" si="1"/>
        <v>0.41875670432944523</v>
      </c>
    </row>
    <row r="22" spans="1:5" x14ac:dyDescent="0.2">
      <c r="A22" s="2"/>
      <c r="B22" s="2">
        <v>37</v>
      </c>
      <c r="C22" s="2">
        <v>10.5</v>
      </c>
      <c r="D22" s="2">
        <f t="shared" si="0"/>
        <v>388.5</v>
      </c>
      <c r="E22" s="2">
        <f t="shared" si="1"/>
        <v>0.39831707703407243</v>
      </c>
    </row>
    <row r="23" spans="1:5" x14ac:dyDescent="0.2">
      <c r="B23" s="4">
        <v>37</v>
      </c>
      <c r="C23" s="4">
        <v>0.5</v>
      </c>
      <c r="D23" s="4">
        <f t="shared" si="0"/>
        <v>18.5</v>
      </c>
      <c r="E23" s="4">
        <f t="shared" si="1"/>
        <v>1.8253181561021932</v>
      </c>
    </row>
    <row r="24" spans="1:5" x14ac:dyDescent="0.2">
      <c r="B24" s="4">
        <v>37</v>
      </c>
      <c r="C24" s="4">
        <v>0.8</v>
      </c>
      <c r="D24" s="4">
        <f t="shared" si="0"/>
        <v>29.6</v>
      </c>
      <c r="E24" s="4">
        <f t="shared" si="1"/>
        <v>1.4430407069354261</v>
      </c>
    </row>
    <row r="25" spans="1:5" x14ac:dyDescent="0.2">
      <c r="B25" s="4">
        <v>37</v>
      </c>
      <c r="C25" s="4">
        <v>1</v>
      </c>
      <c r="D25" s="4">
        <f t="shared" si="0"/>
        <v>37</v>
      </c>
      <c r="E25" s="4">
        <f t="shared" si="1"/>
        <v>1.2906948460027861</v>
      </c>
    </row>
    <row r="26" spans="1:5" x14ac:dyDescent="0.2">
      <c r="B26" s="4">
        <v>37</v>
      </c>
      <c r="C26" s="4">
        <v>1.2</v>
      </c>
      <c r="D26" s="4">
        <f t="shared" si="0"/>
        <v>44.4</v>
      </c>
      <c r="E26" s="4">
        <f t="shared" si="1"/>
        <v>1.178237803352304</v>
      </c>
    </row>
    <row r="27" spans="1:5" x14ac:dyDescent="0.2">
      <c r="B27" s="4">
        <v>37</v>
      </c>
      <c r="C27" s="4">
        <v>1.5</v>
      </c>
      <c r="D27" s="4">
        <f t="shared" si="0"/>
        <v>55.5</v>
      </c>
      <c r="E27" s="4">
        <f t="shared" si="1"/>
        <v>1.0538479287823126</v>
      </c>
    </row>
    <row r="28" spans="1:5" x14ac:dyDescent="0.2">
      <c r="B28" s="4">
        <v>37</v>
      </c>
      <c r="C28" s="4">
        <v>2</v>
      </c>
      <c r="D28" s="4">
        <f t="shared" si="0"/>
        <v>74</v>
      </c>
      <c r="E28" s="4">
        <f t="shared" si="1"/>
        <v>0.91265907805109658</v>
      </c>
    </row>
    <row r="29" spans="1:5" x14ac:dyDescent="0.2">
      <c r="B29" s="4">
        <v>37</v>
      </c>
      <c r="C29" s="4">
        <v>2.5</v>
      </c>
      <c r="D29" s="4">
        <f t="shared" si="0"/>
        <v>92.5</v>
      </c>
      <c r="E29" s="4">
        <f t="shared" si="1"/>
        <v>0.81630709552181524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7A05-75E9-4EBF-B186-4FF94290DCC9}">
  <dimension ref="A1:E22"/>
  <sheetViews>
    <sheetView workbookViewId="0">
      <selection activeCell="C2" sqref="C2"/>
    </sheetView>
  </sheetViews>
  <sheetFormatPr defaultRowHeight="14.25" x14ac:dyDescent="0.2"/>
  <sheetData>
    <row r="1" spans="1:5" x14ac:dyDescent="0.2">
      <c r="A1" t="s">
        <v>4</v>
      </c>
      <c r="B1" t="s">
        <v>5</v>
      </c>
      <c r="C1" t="s">
        <v>3</v>
      </c>
      <c r="D1" t="s">
        <v>6</v>
      </c>
      <c r="E1" t="s">
        <v>7</v>
      </c>
    </row>
    <row r="2" spans="1:5" x14ac:dyDescent="0.2">
      <c r="A2">
        <v>1</v>
      </c>
      <c r="B2">
        <v>0.5</v>
      </c>
      <c r="C2" s="1">
        <v>2.356475606704608</v>
      </c>
      <c r="D2">
        <v>0</v>
      </c>
      <c r="E2">
        <v>10</v>
      </c>
    </row>
    <row r="3" spans="1:5" x14ac:dyDescent="0.2">
      <c r="A3">
        <v>2</v>
      </c>
      <c r="B3">
        <v>0.5</v>
      </c>
      <c r="C3" s="1">
        <v>1.8253181561021932</v>
      </c>
      <c r="D3">
        <v>0</v>
      </c>
      <c r="E3">
        <v>10</v>
      </c>
    </row>
    <row r="4" spans="1:5" x14ac:dyDescent="0.2">
      <c r="A4">
        <v>3</v>
      </c>
      <c r="B4">
        <v>0.5</v>
      </c>
      <c r="C4" s="1">
        <v>1.5426754058629792</v>
      </c>
      <c r="D4">
        <v>0</v>
      </c>
      <c r="E4">
        <v>10</v>
      </c>
    </row>
    <row r="5" spans="1:5" x14ac:dyDescent="0.2">
      <c r="A5">
        <v>4</v>
      </c>
      <c r="B5">
        <v>0.5</v>
      </c>
      <c r="C5" s="1">
        <v>1.360511825869692</v>
      </c>
      <c r="D5">
        <v>0</v>
      </c>
      <c r="E5">
        <v>10</v>
      </c>
    </row>
    <row r="6" spans="1:5" x14ac:dyDescent="0.2">
      <c r="A6">
        <v>5</v>
      </c>
      <c r="B6">
        <v>0.5</v>
      </c>
      <c r="C6" s="1">
        <v>1.2906948460027861</v>
      </c>
      <c r="D6">
        <v>0</v>
      </c>
      <c r="E6">
        <v>10</v>
      </c>
    </row>
    <row r="7" spans="1:5" x14ac:dyDescent="0.2">
      <c r="A7">
        <v>6</v>
      </c>
      <c r="B7">
        <v>0.5</v>
      </c>
      <c r="C7" s="1">
        <v>1.2306292497957572</v>
      </c>
      <c r="D7">
        <v>0</v>
      </c>
      <c r="E7">
        <v>10</v>
      </c>
    </row>
    <row r="8" spans="1:5" x14ac:dyDescent="0.2">
      <c r="A8">
        <v>7</v>
      </c>
      <c r="B8">
        <v>0.5</v>
      </c>
      <c r="C8" s="1">
        <v>1.1320142651649945</v>
      </c>
      <c r="D8">
        <v>0</v>
      </c>
      <c r="E8">
        <v>10</v>
      </c>
    </row>
    <row r="9" spans="1:5" x14ac:dyDescent="0.2">
      <c r="A9">
        <v>8</v>
      </c>
      <c r="B9">
        <v>0.5</v>
      </c>
      <c r="C9" s="1">
        <v>1.0538479287823126</v>
      </c>
      <c r="D9">
        <v>0</v>
      </c>
      <c r="E9">
        <v>10</v>
      </c>
    </row>
    <row r="10" spans="1:5" x14ac:dyDescent="0.2">
      <c r="A10">
        <v>9</v>
      </c>
      <c r="B10">
        <v>0.5</v>
      </c>
      <c r="C10" s="1">
        <v>0.98991775816988525</v>
      </c>
      <c r="D10">
        <v>0</v>
      </c>
      <c r="E10">
        <v>10</v>
      </c>
    </row>
    <row r="11" spans="1:5" x14ac:dyDescent="0.2">
      <c r="A11">
        <v>10</v>
      </c>
      <c r="B11">
        <v>0.5</v>
      </c>
      <c r="C11" s="1">
        <v>0.93636845691442017</v>
      </c>
      <c r="D11">
        <v>0</v>
      </c>
      <c r="E11">
        <v>10</v>
      </c>
    </row>
    <row r="12" spans="1:5" x14ac:dyDescent="0.2">
      <c r="A12">
        <v>11</v>
      </c>
      <c r="B12">
        <v>0.5</v>
      </c>
      <c r="C12" s="1">
        <v>0.89066406084720617</v>
      </c>
      <c r="D12">
        <v>0</v>
      </c>
      <c r="E12">
        <v>10</v>
      </c>
    </row>
    <row r="13" spans="1:5" x14ac:dyDescent="0.2">
      <c r="A13">
        <v>12</v>
      </c>
      <c r="B13">
        <v>0.5</v>
      </c>
      <c r="C13" s="1">
        <v>0.85105897856681934</v>
      </c>
      <c r="D13">
        <v>0</v>
      </c>
      <c r="E13">
        <v>10</v>
      </c>
    </row>
    <row r="14" spans="1:5" x14ac:dyDescent="0.2">
      <c r="A14">
        <v>13</v>
      </c>
      <c r="B14">
        <v>0.5</v>
      </c>
      <c r="C14" s="1">
        <v>0.81630709552181524</v>
      </c>
      <c r="D14">
        <v>0</v>
      </c>
      <c r="E14">
        <v>10</v>
      </c>
    </row>
    <row r="15" spans="1:5" x14ac:dyDescent="0.2">
      <c r="A15">
        <v>14</v>
      </c>
      <c r="B15">
        <v>0.5</v>
      </c>
      <c r="C15" s="1">
        <v>0.68990541494533986</v>
      </c>
      <c r="D15">
        <v>0</v>
      </c>
      <c r="E15">
        <v>10</v>
      </c>
    </row>
    <row r="16" spans="1:5" x14ac:dyDescent="0.2">
      <c r="A16">
        <v>15</v>
      </c>
      <c r="B16">
        <v>0.5</v>
      </c>
      <c r="C16" s="1">
        <v>0.60843938536739772</v>
      </c>
      <c r="D16">
        <v>0</v>
      </c>
      <c r="E16">
        <v>10</v>
      </c>
    </row>
    <row r="17" spans="1:5" x14ac:dyDescent="0.2">
      <c r="A17">
        <v>16</v>
      </c>
      <c r="B17">
        <v>0.5</v>
      </c>
      <c r="C17" s="1">
        <v>0.55035413152857648</v>
      </c>
      <c r="D17">
        <v>0</v>
      </c>
      <c r="E17">
        <v>10</v>
      </c>
    </row>
    <row r="18" spans="1:5" x14ac:dyDescent="0.2">
      <c r="A18">
        <v>17</v>
      </c>
      <c r="B18">
        <v>0.5</v>
      </c>
      <c r="C18" s="1">
        <v>0.50625216968167996</v>
      </c>
      <c r="D18">
        <v>0</v>
      </c>
      <c r="E18">
        <v>10</v>
      </c>
    </row>
    <row r="19" spans="1:5" x14ac:dyDescent="0.2">
      <c r="A19" s="2">
        <v>18</v>
      </c>
      <c r="B19" s="2">
        <v>0.5</v>
      </c>
      <c r="C19" s="3">
        <v>0.47129512134092161</v>
      </c>
      <c r="D19" s="2">
        <v>0</v>
      </c>
      <c r="E19" s="2">
        <v>10</v>
      </c>
    </row>
    <row r="20" spans="1:5" x14ac:dyDescent="0.2">
      <c r="A20" s="2">
        <v>19</v>
      </c>
      <c r="B20" s="2">
        <v>0.5</v>
      </c>
      <c r="C20" s="3">
        <v>0.44270467988041223</v>
      </c>
      <c r="D20" s="2">
        <v>0</v>
      </c>
      <c r="E20" s="2">
        <v>10</v>
      </c>
    </row>
    <row r="21" spans="1:5" x14ac:dyDescent="0.2">
      <c r="A21" s="2">
        <v>20</v>
      </c>
      <c r="B21" s="2">
        <v>0.5</v>
      </c>
      <c r="C21" s="3">
        <v>0.41875670432944523</v>
      </c>
      <c r="D21" s="2">
        <v>0</v>
      </c>
      <c r="E21" s="2">
        <v>10</v>
      </c>
    </row>
    <row r="22" spans="1:5" x14ac:dyDescent="0.2">
      <c r="A22" s="2">
        <v>21</v>
      </c>
      <c r="B22" s="2">
        <v>0.5</v>
      </c>
      <c r="C22" s="3">
        <v>0.39831707703407243</v>
      </c>
      <c r="D22" s="2">
        <v>0</v>
      </c>
      <c r="E22" s="2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</dc:creator>
  <cp:lastModifiedBy>创 李</cp:lastModifiedBy>
  <dcterms:created xsi:type="dcterms:W3CDTF">2015-06-05T18:19:34Z</dcterms:created>
  <dcterms:modified xsi:type="dcterms:W3CDTF">2024-04-14T09:08:04Z</dcterms:modified>
</cp:coreProperties>
</file>